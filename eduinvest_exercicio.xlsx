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m\Meu Drive\DIO\EXCEL e BI\"/>
    </mc:Choice>
  </mc:AlternateContent>
  <xr:revisionPtr revIDLastSave="0" documentId="13_ncr:1_{4892DC0F-4B35-4E70-9CE4-8E92936DE3F9}" xr6:coauthVersionLast="47" xr6:coauthVersionMax="47" xr10:uidLastSave="{00000000-0000-0000-0000-000000000000}"/>
  <bookViews>
    <workbookView xWindow="-120" yWindow="-120" windowWidth="20730" windowHeight="11040" xr2:uid="{291FAD55-3002-46BB-8271-A4B88CCBE4BB}"/>
  </bookViews>
  <sheets>
    <sheet name="Planilha1" sheetId="1" r:id="rId1"/>
    <sheet name="Planilha2" sheetId="2" r:id="rId2"/>
  </sheets>
  <definedNames>
    <definedName name="_xlchart.v1.0" hidden="1">Planilha1!$B$35:$B$40</definedName>
    <definedName name="_xlchart.v1.1" hidden="1">Planilha1!$C$34</definedName>
    <definedName name="_xlchart.v1.10" hidden="1">Planilha1!$C$35:$C$40</definedName>
    <definedName name="_xlchart.v1.11" hidden="1">Planilha1!$B$35:$B$40</definedName>
    <definedName name="_xlchart.v1.12" hidden="1">Planilha1!$C$34</definedName>
    <definedName name="_xlchart.v1.13" hidden="1">Planilha1!$C$35:$C$40</definedName>
    <definedName name="_xlchart.v1.14" hidden="1">Planilha1!$B$35:$B$40</definedName>
    <definedName name="_xlchart.v1.15" hidden="1">Planilha1!$C$34</definedName>
    <definedName name="_xlchart.v1.16" hidden="1">Planilha1!$C$35:$C$40</definedName>
    <definedName name="_xlchart.v1.17" hidden="1">Planilha1!$B$35:$B$40</definedName>
    <definedName name="_xlchart.v1.18" hidden="1">Planilha1!$C$34</definedName>
    <definedName name="_xlchart.v1.19" hidden="1">Planilha1!$C$35:$C$40</definedName>
    <definedName name="_xlchart.v1.2" hidden="1">Planilha1!$C$35:$C$40</definedName>
    <definedName name="_xlchart.v1.3" hidden="1">Planilha1!$D$34</definedName>
    <definedName name="_xlchart.v1.4" hidden="1">Planilha1!$D$35:$D$40</definedName>
    <definedName name="_xlchart.v1.5" hidden="1">Planilha1!$B$35:$B$40</definedName>
    <definedName name="_xlchart.v1.6" hidden="1">Planilha1!$C$34</definedName>
    <definedName name="_xlchart.v1.7" hidden="1">Planilha1!$C$35:$C$40</definedName>
    <definedName name="_xlchart.v1.8" hidden="1">Planilha1!$B$35:$B$40</definedName>
    <definedName name="_xlchart.v1.9" hidden="1">Planilha1!$C$34</definedName>
    <definedName name="aporte">Planilha1!$D$15</definedName>
    <definedName name="aporte_perfil">Planilha1!$C$30</definedName>
    <definedName name="dividendos">Planilha1!$D$19</definedName>
    <definedName name="patrimonio">Planilha1!$D$18</definedName>
    <definedName name="Perfil">Planilha1!$C$29</definedName>
    <definedName name="Rendim_carteira" comment="Meu primeiro intervalo nomeado">Planilha1!$D$11</definedName>
    <definedName name="salario">Planilha1!$D$10</definedName>
    <definedName name="sugestao_investimento">Planilha1!$D$12</definedName>
    <definedName name="taxa_mensal">Planilha1!$D$17</definedName>
    <definedName name="tempo_invest">Planilha1!$D$16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1" l="1"/>
  <c r="C36" i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C21" i="2"/>
  <c r="C20" i="2"/>
  <c r="C19" i="2"/>
  <c r="C18" i="2"/>
  <c r="C17" i="2"/>
  <c r="C16" i="2"/>
  <c r="C15" i="2"/>
  <c r="C14" i="2"/>
  <c r="C13" i="2"/>
  <c r="C12" i="2"/>
  <c r="C11" i="2"/>
  <c r="C10" i="2"/>
  <c r="C5" i="2"/>
  <c r="C6" i="2"/>
  <c r="C7" i="2"/>
  <c r="C8" i="2"/>
  <c r="C9" i="2"/>
  <c r="C4" i="2"/>
  <c r="C30" i="1"/>
  <c r="D18" i="1"/>
  <c r="D19" i="1" s="1"/>
  <c r="D12" i="1"/>
  <c r="C24" i="1"/>
  <c r="D24" i="1" s="1"/>
  <c r="C25" i="1"/>
  <c r="D25" i="1" s="1"/>
  <c r="C26" i="1"/>
  <c r="D26" i="1" s="1"/>
  <c r="C27" i="1"/>
  <c r="D27" i="1" s="1"/>
  <c r="C23" i="1"/>
  <c r="D23" i="1" s="1"/>
  <c r="D41" i="1" l="1"/>
</calcChain>
</file>

<file path=xl/sharedStrings.xml><?xml version="1.0" encoding="utf-8"?>
<sst xmlns="http://schemas.openxmlformats.org/spreadsheetml/2006/main" count="69" uniqueCount="32">
  <si>
    <t>Quanto investir por mês</t>
  </si>
  <si>
    <t>Por quantos anos</t>
  </si>
  <si>
    <t>Taxa Rendimento Mensal</t>
  </si>
  <si>
    <t>Quanto de Patrimônio Acumulado</t>
  </si>
  <si>
    <t>Quanto de  Dividendos por Mês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</si>
  <si>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</si>
  <si>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</si>
  <si>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</si>
  <si>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</si>
  <si>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</si>
  <si>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</si>
  <si>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</si>
  <si>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</si>
  <si>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Salário</t>
  </si>
  <si>
    <t>C O N F I G U R A Ç Õ E S</t>
  </si>
  <si>
    <t>I N V E S T I M E N T O  M E N S A L</t>
  </si>
  <si>
    <t>Agressivo</t>
  </si>
  <si>
    <t>Conservador</t>
  </si>
  <si>
    <t>Moderado</t>
  </si>
  <si>
    <t>VALOR A SER INVESTIDO POR MÊS</t>
  </si>
  <si>
    <t>PERFIL</t>
  </si>
  <si>
    <t>TIPOS DE FII</t>
  </si>
  <si>
    <t>Valores</t>
  </si>
  <si>
    <t>Percentual Sugerido</t>
  </si>
  <si>
    <t>PAPEL</t>
  </si>
  <si>
    <t>TIJOLO</t>
  </si>
  <si>
    <t>HIBRIDOS</t>
  </si>
  <si>
    <t>FOFs</t>
  </si>
  <si>
    <t>DESENVOLVIMENTO</t>
  </si>
  <si>
    <t>HOTELARIAS</t>
  </si>
  <si>
    <t>CHAVE</t>
  </si>
  <si>
    <t>Sugestão Investimento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</si>
</sst>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0;[Red]\-&quot;R$&quot;\ #,##0.000"/>
    <numFmt numFmtId="166" formatCode="&quot;R$&quot;\ #,##0.00"/>
    <numFmt numFmtId="167" formatCode="_-[$R$-416]\ * #,##0.00_-;\-[$R$-416]\ * #,##0.00_-;_-[$R$-416]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3F3F7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6" borderId="28" applyNumberFormat="0" applyAlignment="0" applyProtection="0"/>
    <xf numFmtId="0" fontId="9" fillId="7" borderId="29" applyNumberFormat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8" fontId="6" fillId="5" borderId="5" xfId="0" applyNumberFormat="1" applyFont="1" applyFill="1" applyBorder="1" applyAlignment="1">
      <alignment horizontal="center" vertical="center"/>
    </xf>
    <xf numFmtId="165" fontId="6" fillId="5" borderId="7" xfId="0" applyNumberFormat="1" applyFont="1" applyFill="1" applyBorder="1" applyAlignment="1">
      <alignment horizontal="center" vertical="center"/>
    </xf>
    <xf numFmtId="0" fontId="5" fillId="5" borderId="10" xfId="0" applyFont="1" applyFill="1" applyBorder="1"/>
    <xf numFmtId="8" fontId="5" fillId="5" borderId="11" xfId="0" applyNumberFormat="1" applyFont="1" applyFill="1" applyBorder="1" applyAlignment="1">
      <alignment horizontal="center" vertical="center"/>
    </xf>
    <xf numFmtId="0" fontId="5" fillId="5" borderId="14" xfId="0" applyFont="1" applyFill="1" applyBorder="1"/>
    <xf numFmtId="0" fontId="5" fillId="5" borderId="13" xfId="0" applyFont="1" applyFill="1" applyBorder="1"/>
    <xf numFmtId="8" fontId="5" fillId="5" borderId="12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8" fontId="0" fillId="5" borderId="1" xfId="0" applyNumberFormat="1" applyFill="1" applyBorder="1" applyAlignment="1">
      <alignment horizontal="center" vertical="center"/>
    </xf>
    <xf numFmtId="166" fontId="6" fillId="5" borderId="17" xfId="1" applyNumberFormat="1" applyFont="1" applyFill="1" applyBorder="1" applyAlignment="1">
      <alignment horizontal="center" vertical="center"/>
    </xf>
    <xf numFmtId="10" fontId="6" fillId="5" borderId="18" xfId="2" applyNumberFormat="1" applyFont="1" applyFill="1" applyBorder="1" applyAlignment="1">
      <alignment horizontal="center" vertical="center"/>
    </xf>
    <xf numFmtId="166" fontId="6" fillId="5" borderId="15" xfId="1" applyNumberFormat="1" applyFont="1" applyFill="1" applyBorder="1" applyAlignment="1">
      <alignment horizontal="center" vertical="center"/>
    </xf>
    <xf numFmtId="166" fontId="5" fillId="5" borderId="21" xfId="0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164" fontId="5" fillId="5" borderId="27" xfId="2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10" fillId="2" borderId="0" xfId="3" applyFont="1" applyBorder="1" applyAlignment="1">
      <alignment horizontal="center" vertical="center"/>
    </xf>
    <xf numFmtId="0" fontId="10" fillId="2" borderId="0" xfId="3" applyFont="1" applyAlignment="1">
      <alignment horizontal="center" vertical="center"/>
    </xf>
    <xf numFmtId="0" fontId="9" fillId="7" borderId="29" xfId="5"/>
    <xf numFmtId="167" fontId="9" fillId="7" borderId="29" xfId="5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1" fillId="7" borderId="2" xfId="5" applyFont="1" applyBorder="1"/>
    <xf numFmtId="0" fontId="11" fillId="7" borderId="16" xfId="5" applyFont="1" applyBorder="1" applyAlignment="1">
      <alignment horizontal="center" vertical="center"/>
    </xf>
    <xf numFmtId="0" fontId="11" fillId="7" borderId="30" xfId="5" applyFont="1" applyBorder="1" applyAlignment="1">
      <alignment horizontal="center" vertical="center"/>
    </xf>
    <xf numFmtId="0" fontId="11" fillId="7" borderId="31" xfId="5" applyFont="1" applyBorder="1" applyAlignment="1">
      <alignment horizontal="center" vertical="center"/>
    </xf>
    <xf numFmtId="0" fontId="11" fillId="7" borderId="32" xfId="5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1" fillId="7" borderId="3" xfId="5" applyNumberFormat="1" applyFont="1" applyBorder="1" applyAlignment="1">
      <alignment horizontal="center" vertical="center"/>
    </xf>
    <xf numFmtId="0" fontId="0" fillId="0" borderId="33" xfId="0" applyBorder="1"/>
    <xf numFmtId="0" fontId="0" fillId="0" borderId="33" xfId="0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44" fontId="12" fillId="6" borderId="28" xfId="4" applyNumberFormat="1" applyFont="1" applyAlignment="1">
      <alignment horizontal="center" vertical="center"/>
    </xf>
  </cellXfs>
  <cellStyles count="6">
    <cellStyle name="Entrada" xfId="4" builtinId="20"/>
    <cellStyle name="Moeda" xfId="1" builtinId="4"/>
    <cellStyle name="Neutro" xfId="3" builtinId="28"/>
    <cellStyle name="Normal" xfId="0" builtinId="0"/>
    <cellStyle name="Porcentagem" xfId="2" builtinId="5"/>
    <cellStyle name="Saída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>
        <cx:txData>
          <cx:v>DISTRIBUIÇÃO DO INVESTIMENTO CONFORME PERFIL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DISTRIBUIÇÃO DO INVESTIMENTO CONFORME PERFIL</a:t>
          </a:r>
        </a:p>
      </cx:txPr>
    </cx:title>
    <cx:plotArea>
      <cx:plotAreaRegion>
        <cx:series layoutId="waterfall" uniqueId="{00000000-274A-4479-9035-269417A47BA7}">
          <cx:tx>
            <cx:txData>
              <cx:f>_xlchart.v1.9</cx:f>
              <cx:v>Percentual Sugerido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581024</xdr:colOff>
      <xdr:row>0</xdr:row>
      <xdr:rowOff>85725</xdr:rowOff>
    </xdr:from>
    <xdr:to>
      <xdr:col>4</xdr:col>
      <xdr:colOff>38099</xdr:colOff>
      <xdr:row>7</xdr:row>
      <xdr:rowOff>63435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11EDEE-3B7B-72E5-BC42-535DE965C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4" y="85725"/>
          <a:ext cx="5438775" cy="1311210"/>
        </a:xfrm>
        <a:prstGeom prst="rect">
          <a:avLst/>
        </a:prstGeom>
      </xdr:spPr>
    </xdr:pic>
    <xdr:clientData/>
  </xdr:twoCellAnchor>
  <xdr:twoCellAnchor>
    <xdr:from>
      <xdr:col>1</xdr:col>
      <xdr:colOff>12987</xdr:colOff>
      <xdr:row>41</xdr:row>
      <xdr:rowOff>48491</xdr:rowOff>
    </xdr:from>
    <xdr:to>
      <xdr:col>3</xdr:col>
      <xdr:colOff>1411431</xdr:colOff>
      <xdr:row>56</xdr:row>
      <xdr:rowOff>69272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3FD71F5-679B-7471-C01C-129EBAA603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3" y="8465127"/>
              <a:ext cx="5355649" cy="2878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49AB-8CE7-4422-869C-871D92EA5DE3}">
  <dimension ref="A8:F41"/>
  <sheetViews>
    <sheetView showGridLines="0" tabSelected="1" zoomScale="110" zoomScaleNormal="110" workbookViewId="0">
      <selection activeCell="D1" sqref="D1"/>
    </sheetView>
  </sheetViews>
  <sheetFormatPr defaultColWidth="0" defaultRowHeight="15" x14ac:dyDescent="0.25"/>
  <cols>
    <col min="1" max="1" width="9.140625" customWidth="1"/>
    <col min="2" max="2" width="33.85546875" customWidth="1"/>
    <col min="3" max="3" width="25.42578125" style="1" customWidth="1"/>
    <col min="4" max="4" width="21.28515625" customWidth="1"/>
    <col min="5" max="5" width="8.5703125" customWidth="1"/>
    <col min="6" max="6" width="17.28515625" style="1" hidden="1" customWidth="1"/>
    <col min="7" max="9" width="9.140625" hidden="1" customWidth="1"/>
    <col min="10" max="16384" width="9.140625" hidden="1"/>
  </cols>
  <sheetData>
    <row r="8" spans="2:4" ht="15.75" thickBot="1" x14ac:dyDescent="0.3"/>
    <row r="9" spans="2:4" ht="21.75" thickBot="1" x14ac:dyDescent="0.4">
      <c r="B9" s="22" t="s">
        <v>14</v>
      </c>
      <c r="C9" s="23"/>
      <c r="D9" s="24"/>
    </row>
    <row r="10" spans="2:4" ht="15.75" x14ac:dyDescent="0.25">
      <c r="B10" s="18" t="s">
        <v>13</v>
      </c>
      <c r="C10" s="19"/>
      <c r="D10" s="12">
        <v>4200</v>
      </c>
    </row>
    <row r="11" spans="2:4" ht="15.75" x14ac:dyDescent="0.25">
      <c r="B11" s="25" t="s">
        <v>12</v>
      </c>
      <c r="C11" s="26"/>
      <c r="D11" s="13">
        <v>7.0000000000000001E-3</v>
      </c>
    </row>
    <row r="12" spans="2:4" ht="16.5" thickBot="1" x14ac:dyDescent="0.3">
      <c r="B12" s="20" t="s">
        <v>31</v>
      </c>
      <c r="C12" s="21"/>
      <c r="D12" s="14">
        <f>D10*0.3</f>
        <v>1260</v>
      </c>
    </row>
    <row r="13" spans="2:4" ht="15.75" thickBot="1" x14ac:dyDescent="0.3"/>
    <row r="14" spans="2:4" ht="24.75" thickBot="1" x14ac:dyDescent="0.45">
      <c r="B14" s="29" t="s">
        <v>15</v>
      </c>
      <c r="C14" s="30"/>
      <c r="D14" s="31"/>
    </row>
    <row r="15" spans="2:4" ht="15.75" x14ac:dyDescent="0.25">
      <c r="B15" s="32" t="s">
        <v>0</v>
      </c>
      <c r="C15" s="33"/>
      <c r="D15" s="15">
        <v>1260</v>
      </c>
    </row>
    <row r="16" spans="2:4" ht="15.75" x14ac:dyDescent="0.25">
      <c r="B16" s="34" t="s">
        <v>1</v>
      </c>
      <c r="C16" s="35"/>
      <c r="D16" s="16">
        <v>5</v>
      </c>
    </row>
    <row r="17" spans="1:4" ht="16.5" thickBot="1" x14ac:dyDescent="0.3">
      <c r="B17" s="36" t="s">
        <v>2</v>
      </c>
      <c r="C17" s="37"/>
      <c r="D17" s="17">
        <v>1.0789999999999999E-2</v>
      </c>
    </row>
    <row r="18" spans="1:4" ht="15.75" x14ac:dyDescent="0.25">
      <c r="B18" s="18" t="s">
        <v>3</v>
      </c>
      <c r="C18" s="19"/>
      <c r="D18" s="3">
        <f>FV(taxa_mensal,tempo_invest*12,aporte*-1)</f>
        <v>105558.91163809443</v>
      </c>
    </row>
    <row r="19" spans="1:4" ht="16.5" thickBot="1" x14ac:dyDescent="0.3">
      <c r="B19" s="20" t="s">
        <v>4</v>
      </c>
      <c r="C19" s="21"/>
      <c r="D19" s="4">
        <f>patrimonio*Rendim_carteira</f>
        <v>738.91238146666103</v>
      </c>
    </row>
    <row r="21" spans="1:4" ht="15.75" thickBot="1" x14ac:dyDescent="0.3"/>
    <row r="22" spans="1:4" ht="24.75" thickBot="1" x14ac:dyDescent="0.45">
      <c r="B22" s="27" t="s">
        <v>10</v>
      </c>
      <c r="C22" s="28"/>
      <c r="D22" s="10" t="s">
        <v>11</v>
      </c>
    </row>
    <row r="23" spans="1:4" ht="16.5" thickBot="1" x14ac:dyDescent="0.3">
      <c r="A23" s="2">
        <v>2</v>
      </c>
      <c r="B23" s="5" t="s">
        <v>5</v>
      </c>
      <c r="C23" s="6">
        <f>FV($D$17,$A23*12,$D$15*-1)</f>
        <v>34306.810395032975</v>
      </c>
      <c r="D23" s="11">
        <f>C23*Rendim_carteira</f>
        <v>240.14767276523082</v>
      </c>
    </row>
    <row r="24" spans="1:4" ht="16.5" thickBot="1" x14ac:dyDescent="0.3">
      <c r="A24" s="2">
        <v>5</v>
      </c>
      <c r="B24" s="7" t="s">
        <v>6</v>
      </c>
      <c r="C24" s="6">
        <f>FV($D$17,$A24*12,$D$15*-1)</f>
        <v>105558.91163809443</v>
      </c>
      <c r="D24" s="11">
        <f>C24*Rendim_carteira</f>
        <v>738.91238146666103</v>
      </c>
    </row>
    <row r="25" spans="1:4" ht="16.5" thickBot="1" x14ac:dyDescent="0.3">
      <c r="A25" s="2">
        <v>10</v>
      </c>
      <c r="B25" s="5" t="s">
        <v>7</v>
      </c>
      <c r="C25" s="6">
        <f>FV($D$17,$A25*12,$D$15*-1)</f>
        <v>306538.10778801696</v>
      </c>
      <c r="D25" s="11">
        <f>C25*Rendim_carteira</f>
        <v>2145.7667545161189</v>
      </c>
    </row>
    <row r="26" spans="1:4" ht="16.5" thickBot="1" x14ac:dyDescent="0.3">
      <c r="A26" s="2">
        <v>20</v>
      </c>
      <c r="B26" s="5" t="s">
        <v>8</v>
      </c>
      <c r="C26" s="6">
        <f>FV($D$17,$A26*12,$D$15*-1)</f>
        <v>1417749.9841223215</v>
      </c>
      <c r="D26" s="11">
        <f>C26*Rendim_carteira</f>
        <v>9924.2498888562513</v>
      </c>
    </row>
    <row r="27" spans="1:4" ht="16.5" thickBot="1" x14ac:dyDescent="0.3">
      <c r="A27" s="2">
        <v>30</v>
      </c>
      <c r="B27" s="8" t="s">
        <v>9</v>
      </c>
      <c r="C27" s="9">
        <f>FV($D$17,$A27*12,$D$15*-1)</f>
        <v>5445933.7653059401</v>
      </c>
      <c r="D27" s="11">
        <f>C27*Rendim_carteira</f>
        <v>38121.53635714158</v>
      </c>
    </row>
    <row r="29" spans="1:4" ht="15.75" x14ac:dyDescent="0.25">
      <c r="B29" s="38" t="s">
        <v>20</v>
      </c>
      <c r="C29" s="39" t="s">
        <v>17</v>
      </c>
      <c r="D29" s="39"/>
    </row>
    <row r="30" spans="1:4" x14ac:dyDescent="0.25">
      <c r="B30" s="40" t="s">
        <v>19</v>
      </c>
      <c r="C30" s="41">
        <f>aporte</f>
        <v>1260</v>
      </c>
      <c r="D30" s="40"/>
    </row>
    <row r="33" spans="2:4" ht="16.5" thickBot="1" x14ac:dyDescent="0.3">
      <c r="B33" s="53" t="str">
        <f>"O PERFIL SELECIONADO É O:"&amp;"  "&amp;Perfil</f>
        <v>O PERFIL SELECIONADO É O:  Conservador</v>
      </c>
      <c r="C33" s="53"/>
      <c r="D33" s="53"/>
    </row>
    <row r="34" spans="2:4" ht="16.5" thickBot="1" x14ac:dyDescent="0.3">
      <c r="B34" s="45" t="s">
        <v>21</v>
      </c>
      <c r="C34" s="46" t="s">
        <v>23</v>
      </c>
      <c r="D34" s="47" t="s">
        <v>22</v>
      </c>
    </row>
    <row r="35" spans="2:4" x14ac:dyDescent="0.25">
      <c r="B35" s="1" t="s">
        <v>24</v>
      </c>
      <c r="C35" s="42">
        <f>VLOOKUP(Perfil&amp;"-"&amp;B35,Planilha2!C:F,4,FALSE)</f>
        <v>0.3</v>
      </c>
      <c r="D35" s="48">
        <f>C35*aporte_perfil</f>
        <v>378</v>
      </c>
    </row>
    <row r="36" spans="2:4" x14ac:dyDescent="0.25">
      <c r="B36" s="1" t="s">
        <v>25</v>
      </c>
      <c r="C36" s="42">
        <f>VLOOKUP(Perfil&amp;"-"&amp;B36,Planilha2!C:F,4,FALSE)</f>
        <v>0.5</v>
      </c>
      <c r="D36" s="48">
        <f>C36*aporte_perfil</f>
        <v>630</v>
      </c>
    </row>
    <row r="37" spans="2:4" x14ac:dyDescent="0.25">
      <c r="B37" s="1" t="s">
        <v>26</v>
      </c>
      <c r="C37" s="42">
        <f>VLOOKUP(Perfil&amp;"-"&amp;B37,Planilha2!C:F,4,FALSE)</f>
        <v>0.1</v>
      </c>
      <c r="D37" s="48">
        <f>C37*aporte_perfil</f>
        <v>126</v>
      </c>
    </row>
    <row r="38" spans="2:4" x14ac:dyDescent="0.25">
      <c r="B38" s="1" t="s">
        <v>27</v>
      </c>
      <c r="C38" s="42">
        <f>VLOOKUP(Perfil&amp;"-"&amp;B38,Planilha2!C:F,4,FALSE)</f>
        <v>0.1</v>
      </c>
      <c r="D38" s="48">
        <f>C38*aporte_perfil</f>
        <v>126</v>
      </c>
    </row>
    <row r="39" spans="2:4" x14ac:dyDescent="0.25">
      <c r="B39" s="1" t="s">
        <v>28</v>
      </c>
      <c r="C39" s="42">
        <f>VLOOKUP(Perfil&amp;"-"&amp;B39,Planilha2!C:F,4,FALSE)</f>
        <v>0</v>
      </c>
      <c r="D39" s="48">
        <f>C39*aporte_perfil</f>
        <v>0</v>
      </c>
    </row>
    <row r="40" spans="2:4" ht="15.75" thickBot="1" x14ac:dyDescent="0.3">
      <c r="B40" s="1" t="s">
        <v>29</v>
      </c>
      <c r="C40" s="42">
        <f>VLOOKUP(Perfil&amp;"-"&amp;B40,Planilha2!C:F,4,FALSE)</f>
        <v>0</v>
      </c>
      <c r="D40" s="48">
        <f>C40*aporte_perfil</f>
        <v>0</v>
      </c>
    </row>
    <row r="41" spans="2:4" ht="16.5" thickBot="1" x14ac:dyDescent="0.3">
      <c r="B41" s="43"/>
      <c r="C41" s="44"/>
      <c r="D41" s="49">
        <f>SUM(D35:D40)</f>
        <v>1260</v>
      </c>
    </row>
  </sheetData>
  <mergeCells count="12">
    <mergeCell ref="B33:D33"/>
    <mergeCell ref="B22:C22"/>
    <mergeCell ref="B14:D14"/>
    <mergeCell ref="B15:C15"/>
    <mergeCell ref="B16:C16"/>
    <mergeCell ref="B17:C17"/>
    <mergeCell ref="B18:C18"/>
    <mergeCell ref="B19:C19"/>
    <mergeCell ref="B9:D9"/>
    <mergeCell ref="B10:C10"/>
    <mergeCell ref="B11:C11"/>
    <mergeCell ref="B12:C12"/>
  </mergeCells>
  <dataValidations count="1">
    <dataValidation type="list" allowBlank="1" showInputMessage="1" showErrorMessage="1" sqref="C29" xr:uid="{44A726D7-A2AE-4326-B43D-076756EEBCC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07A6-6520-49A1-8601-65260A7E1A3D}">
  <dimension ref="C2:F21"/>
  <sheetViews>
    <sheetView workbookViewId="0">
      <selection activeCell="D19" sqref="D19"/>
    </sheetView>
  </sheetViews>
  <sheetFormatPr defaultRowHeight="15" x14ac:dyDescent="0.25"/>
  <cols>
    <col min="2" max="2" width="16.5703125" customWidth="1"/>
    <col min="3" max="3" width="25.140625" customWidth="1"/>
    <col min="4" max="4" width="16.85546875" customWidth="1"/>
    <col min="5" max="5" width="18.5703125" bestFit="1" customWidth="1"/>
    <col min="6" max="6" width="20" bestFit="1" customWidth="1"/>
  </cols>
  <sheetData>
    <row r="2" spans="3:6" ht="15.75" thickBot="1" x14ac:dyDescent="0.3"/>
    <row r="3" spans="3:6" ht="16.5" thickBot="1" x14ac:dyDescent="0.3">
      <c r="C3" s="45" t="s">
        <v>30</v>
      </c>
      <c r="D3" s="45" t="s">
        <v>20</v>
      </c>
      <c r="E3" s="45" t="s">
        <v>21</v>
      </c>
      <c r="F3" s="46" t="s">
        <v>23</v>
      </c>
    </row>
    <row r="4" spans="3:6" x14ac:dyDescent="0.25">
      <c r="C4" t="str">
        <f>D4&amp;"-"&amp;E4</f>
        <v>Conservador-PAPEL</v>
      </c>
      <c r="D4" t="s">
        <v>17</v>
      </c>
      <c r="E4" s="1" t="s">
        <v>24</v>
      </c>
      <c r="F4" s="42">
        <v>0.3</v>
      </c>
    </row>
    <row r="5" spans="3:6" x14ac:dyDescent="0.25">
      <c r="C5" t="str">
        <f t="shared" ref="C5:C9" si="0">D5&amp;"-"&amp;E5</f>
        <v>Conservador-TIJOLO</v>
      </c>
      <c r="D5" t="s">
        <v>17</v>
      </c>
      <c r="E5" s="1" t="s">
        <v>25</v>
      </c>
      <c r="F5" s="42">
        <v>0.5</v>
      </c>
    </row>
    <row r="6" spans="3:6" x14ac:dyDescent="0.25">
      <c r="C6" t="str">
        <f t="shared" si="0"/>
        <v>Conservador-HIBRIDOS</v>
      </c>
      <c r="D6" t="s">
        <v>17</v>
      </c>
      <c r="E6" s="1" t="s">
        <v>26</v>
      </c>
      <c r="F6" s="42">
        <v>0.1</v>
      </c>
    </row>
    <row r="7" spans="3:6" x14ac:dyDescent="0.25">
      <c r="C7" t="str">
        <f t="shared" si="0"/>
        <v>Conservador-FOFs</v>
      </c>
      <c r="D7" t="s">
        <v>17</v>
      </c>
      <c r="E7" s="1" t="s">
        <v>27</v>
      </c>
      <c r="F7" s="42">
        <v>0.1</v>
      </c>
    </row>
    <row r="8" spans="3:6" x14ac:dyDescent="0.25">
      <c r="C8" t="str">
        <f t="shared" si="0"/>
        <v>Conservador-DESENVOLVIMENTO</v>
      </c>
      <c r="D8" t="s">
        <v>17</v>
      </c>
      <c r="E8" s="1" t="s">
        <v>28</v>
      </c>
      <c r="F8" s="42">
        <v>0</v>
      </c>
    </row>
    <row r="9" spans="3:6" x14ac:dyDescent="0.25">
      <c r="C9" s="50" t="str">
        <f t="shared" si="0"/>
        <v>Conservador-HOTELARIAS</v>
      </c>
      <c r="D9" s="50" t="s">
        <v>17</v>
      </c>
      <c r="E9" s="51" t="s">
        <v>29</v>
      </c>
      <c r="F9" s="52">
        <v>0</v>
      </c>
    </row>
    <row r="10" spans="3:6" x14ac:dyDescent="0.25">
      <c r="C10" t="str">
        <f>D10&amp;"-"&amp;E10</f>
        <v>Moderado-PAPEL</v>
      </c>
      <c r="D10" t="s">
        <v>18</v>
      </c>
      <c r="E10" s="1" t="s">
        <v>24</v>
      </c>
      <c r="F10" s="42">
        <v>0.32</v>
      </c>
    </row>
    <row r="11" spans="3:6" x14ac:dyDescent="0.25">
      <c r="C11" t="str">
        <f t="shared" ref="C11:C15" si="1">D11&amp;"-"&amp;E11</f>
        <v>Moderado-TIJOLO</v>
      </c>
      <c r="D11" t="s">
        <v>18</v>
      </c>
      <c r="E11" s="1" t="s">
        <v>25</v>
      </c>
      <c r="F11" s="42">
        <v>0.4</v>
      </c>
    </row>
    <row r="12" spans="3:6" x14ac:dyDescent="0.25">
      <c r="C12" t="str">
        <f t="shared" si="1"/>
        <v>Moderado-HIBRIDOS</v>
      </c>
      <c r="D12" t="s">
        <v>18</v>
      </c>
      <c r="E12" s="1" t="s">
        <v>26</v>
      </c>
      <c r="F12" s="42">
        <v>0.08</v>
      </c>
    </row>
    <row r="13" spans="3:6" x14ac:dyDescent="0.25">
      <c r="C13" t="str">
        <f t="shared" si="1"/>
        <v>Moderado-FOFs</v>
      </c>
      <c r="D13" t="s">
        <v>18</v>
      </c>
      <c r="E13" s="1" t="s">
        <v>27</v>
      </c>
      <c r="F13" s="42">
        <v>0.1</v>
      </c>
    </row>
    <row r="14" spans="3:6" x14ac:dyDescent="0.25">
      <c r="C14" t="str">
        <f t="shared" si="1"/>
        <v>Moderado-DESENVOLVIMENTO</v>
      </c>
      <c r="D14" t="s">
        <v>18</v>
      </c>
      <c r="E14" s="1" t="s">
        <v>28</v>
      </c>
      <c r="F14" s="42">
        <v>0.1</v>
      </c>
    </row>
    <row r="15" spans="3:6" x14ac:dyDescent="0.25">
      <c r="C15" s="50" t="str">
        <f t="shared" si="1"/>
        <v>Moderado-HOTELARIAS</v>
      </c>
      <c r="D15" s="50" t="s">
        <v>18</v>
      </c>
      <c r="E15" s="51" t="s">
        <v>29</v>
      </c>
      <c r="F15" s="52">
        <v>0</v>
      </c>
    </row>
    <row r="16" spans="3:6" x14ac:dyDescent="0.25">
      <c r="C16" t="str">
        <f>D16&amp;"-"&amp;E16</f>
        <v>Agressivo-PAPEL</v>
      </c>
      <c r="D16" t="s">
        <v>16</v>
      </c>
      <c r="E16" s="1" t="s">
        <v>24</v>
      </c>
      <c r="F16" s="42">
        <v>0.5</v>
      </c>
    </row>
    <row r="17" spans="3:6" x14ac:dyDescent="0.25">
      <c r="C17" t="str">
        <f t="shared" ref="C17:C21" si="2">D17&amp;"-"&amp;E17</f>
        <v>Agressivo-TIJOLO</v>
      </c>
      <c r="D17" t="s">
        <v>16</v>
      </c>
      <c r="E17" s="1" t="s">
        <v>25</v>
      </c>
      <c r="F17" s="42">
        <v>0.1</v>
      </c>
    </row>
    <row r="18" spans="3:6" x14ac:dyDescent="0.25">
      <c r="C18" t="str">
        <f t="shared" si="2"/>
        <v>Agressivo-HIBRIDOS</v>
      </c>
      <c r="D18" t="s">
        <v>16</v>
      </c>
      <c r="E18" s="1" t="s">
        <v>26</v>
      </c>
      <c r="F18" s="42">
        <v>0.05</v>
      </c>
    </row>
    <row r="19" spans="3:6" x14ac:dyDescent="0.25">
      <c r="C19" t="str">
        <f t="shared" si="2"/>
        <v>Agressivo-FOFs</v>
      </c>
      <c r="D19" t="s">
        <v>16</v>
      </c>
      <c r="E19" s="1" t="s">
        <v>27</v>
      </c>
      <c r="F19" s="42">
        <v>0.05</v>
      </c>
    </row>
    <row r="20" spans="3:6" x14ac:dyDescent="0.25">
      <c r="C20" t="str">
        <f t="shared" si="2"/>
        <v>Agressivo-DESENVOLVIMENTO</v>
      </c>
      <c r="D20" t="s">
        <v>16</v>
      </c>
      <c r="E20" s="1" t="s">
        <v>28</v>
      </c>
      <c r="F20" s="42">
        <v>0.2</v>
      </c>
    </row>
    <row r="21" spans="3:6" x14ac:dyDescent="0.25">
      <c r="C21" t="str">
        <f t="shared" si="2"/>
        <v>Agressivo-HOTELARIAS</v>
      </c>
      <c r="D21" t="s">
        <v>16</v>
      </c>
      <c r="E21" s="1" t="s">
        <v>29</v>
      </c>
      <c r="F21" s="4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Planilha1</vt:lpstr>
      <vt:lpstr>Planilha2</vt:lpstr>
      <vt:lpstr>aporte</vt:lpstr>
      <vt:lpstr>aporte_perfil</vt:lpstr>
      <vt:lpstr>dividendos</vt:lpstr>
      <vt:lpstr>patrimonio</vt:lpstr>
      <vt:lpstr>Perfil</vt:lpstr>
      <vt:lpstr>Rendim_carteira</vt:lpstr>
      <vt:lpstr>salario</vt:lpstr>
      <vt:lpstr>sugestao_investimento</vt:lpstr>
      <vt:lpstr>taxa_mensal</vt:lpstr>
      <vt:lpstr>tempo_invest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x38806@365mmt.com</dc:creator>
  <cp:lastModifiedBy>x38806@365mmt.com</cp:lastModifiedBy>
  <dcterms:created xsi:type="dcterms:W3CDTF">2026-10-23T20:25:23Z</dcterms:created>
  <dcterms:modified xsi:type="dcterms:W3CDTF">2026-10-24T03:13:40Z</dcterms:modified>
</cp:coreProperties>
</file>